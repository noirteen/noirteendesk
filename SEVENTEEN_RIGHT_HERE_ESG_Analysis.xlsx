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 Ann Benitez\Desktop\Data Analytics\"/>
    </mc:Choice>
  </mc:AlternateContent>
  <xr:revisionPtr revIDLastSave="0" documentId="13_ncr:1_{0C4DE9AE-5412-4087-98E6-B4136E9CA9A5}" xr6:coauthVersionLast="47" xr6:coauthVersionMax="47" xr10:uidLastSave="{00000000-0000-0000-0000-000000000000}"/>
  <bookViews>
    <workbookView xWindow="-108" yWindow="-108" windowWidth="23256" windowHeight="12456" activeTab="3" xr2:uid="{5D76E81C-266F-4F79-912C-FA5EE5B864C7}"/>
  </bookViews>
  <sheets>
    <sheet name="Raw_Data" sheetId="1" r:id="rId1"/>
    <sheet name="Assumptions" sheetId="2" r:id="rId2"/>
    <sheet name="Clean_Data" sheetId="3" r:id="rId3"/>
    <sheet name="Analysis" sheetId="7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2" i="3"/>
  <c r="B2" i="3"/>
  <c r="C2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</calcChain>
</file>

<file path=xl/sharedStrings.xml><?xml version="1.0" encoding="utf-8"?>
<sst xmlns="http://schemas.openxmlformats.org/spreadsheetml/2006/main" count="190" uniqueCount="86">
  <si>
    <t>Event_Date</t>
  </si>
  <si>
    <t>City</t>
  </si>
  <si>
    <t>Country</t>
  </si>
  <si>
    <t>Venue</t>
  </si>
  <si>
    <t>Venue_Capacity</t>
  </si>
  <si>
    <t>Estimated_Attendance</t>
  </si>
  <si>
    <t>Region</t>
  </si>
  <si>
    <t>Assumptions &amp; Methodology</t>
  </si>
  <si>
    <t>Section A: Attendance Assumptions</t>
  </si>
  <si>
    <t>Section B: Emissions Factors (Estimated)</t>
  </si>
  <si>
    <t>Category</t>
  </si>
  <si>
    <t>Emission Factor (kg CO₂ per attendee)</t>
  </si>
  <si>
    <t>Notes</t>
  </si>
  <si>
    <t>Audience Travel</t>
  </si>
  <si>
    <t>Simplified average travel emission per attendee</t>
  </si>
  <si>
    <t>Venue Energy Use</t>
  </si>
  <si>
    <t>Estimated energy-related emissions per attendee</t>
  </si>
  <si>
    <t>Section C: Notes and Limitations</t>
  </si>
  <si>
    <t>All emission values are estimated using simplified assumptions and publicly available information. This project is for educational purposes only and does not represent official or audited ESG data.</t>
  </si>
  <si>
    <t>Goyang</t>
  </si>
  <si>
    <t>South Korea</t>
  </si>
  <si>
    <t>Goyang Stadium</t>
  </si>
  <si>
    <t>ASIA</t>
  </si>
  <si>
    <t>10/13/2024</t>
  </si>
  <si>
    <t>10/22/24</t>
  </si>
  <si>
    <t>Rosemont</t>
  </si>
  <si>
    <t>United States</t>
  </si>
  <si>
    <t>Allstate Arena</t>
  </si>
  <si>
    <t>US</t>
  </si>
  <si>
    <t>10/23/24</t>
  </si>
  <si>
    <t>10/25/24</t>
  </si>
  <si>
    <t>Elmont</t>
  </si>
  <si>
    <t>10/27/24</t>
  </si>
  <si>
    <t>UBS Arena</t>
  </si>
  <si>
    <t>10/31/2024</t>
  </si>
  <si>
    <t>San Antonio</t>
  </si>
  <si>
    <t>Frost Bank Center</t>
  </si>
  <si>
    <t>Oakland</t>
  </si>
  <si>
    <t>Oakland Arena</t>
  </si>
  <si>
    <t>Los Angeles</t>
  </si>
  <si>
    <t>BMO Stadium</t>
  </si>
  <si>
    <t>11/29/2024</t>
  </si>
  <si>
    <t>Nagoya</t>
  </si>
  <si>
    <t>Japan</t>
  </si>
  <si>
    <t>Vantelin Dome</t>
  </si>
  <si>
    <t>11/30/2024</t>
  </si>
  <si>
    <t>Tokyo</t>
  </si>
  <si>
    <t>Tokyo Dome</t>
  </si>
  <si>
    <t>12/14/2024</t>
  </si>
  <si>
    <t>12/15/2024</t>
  </si>
  <si>
    <t>Osaka</t>
  </si>
  <si>
    <t>Kyocera Dome</t>
  </si>
  <si>
    <t>12/19/2024</t>
  </si>
  <si>
    <t>12/21/2024</t>
  </si>
  <si>
    <t>12/22/2024</t>
  </si>
  <si>
    <t>Fukuoka</t>
  </si>
  <si>
    <t>Mizuho PayPay Dome</t>
  </si>
  <si>
    <t>1/18/2025</t>
  </si>
  <si>
    <t>1/19/2025</t>
  </si>
  <si>
    <t>Philippines</t>
  </si>
  <si>
    <t>Philippine Sports Stadium</t>
  </si>
  <si>
    <t>1/25/2025</t>
  </si>
  <si>
    <t>1/26/2025</t>
  </si>
  <si>
    <t>Singapore</t>
  </si>
  <si>
    <t>Bulacan</t>
  </si>
  <si>
    <t>National Stadium</t>
  </si>
  <si>
    <t>Kallang</t>
  </si>
  <si>
    <t>Jakarta</t>
  </si>
  <si>
    <t>Indonesia</t>
  </si>
  <si>
    <t>Jakarta International Stadium</t>
  </si>
  <si>
    <t>2/15/2025</t>
  </si>
  <si>
    <t>2/16/2025</t>
  </si>
  <si>
    <t>Bangkok</t>
  </si>
  <si>
    <t>Thailand</t>
  </si>
  <si>
    <t>Rajamangala National Stadium</t>
  </si>
  <si>
    <t>Travel_Emission_kg</t>
  </si>
  <si>
    <t>Energy_Emission_kg</t>
  </si>
  <si>
    <t>Total_Emission_kg</t>
  </si>
  <si>
    <t>Attendance_Rate</t>
  </si>
  <si>
    <t>Attendance_Rate column in Raw_Data represents % of venue capacity for each concert date.</t>
  </si>
  <si>
    <t>Row Labels</t>
  </si>
  <si>
    <t>Grand Total</t>
  </si>
  <si>
    <t>Sum of Travel_Emission_kg</t>
  </si>
  <si>
    <t>Sum of Energy_Emission_kg</t>
  </si>
  <si>
    <t>Sum of Total_Emission_kg</t>
  </si>
  <si>
    <t>Emission_per_Attendee_kg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</si>
</sst>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/>
    <xf numFmtId="3" fontId="0" fillId="0" borderId="0" xfId="0" applyNumberFormat="1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[SEVENTEEN_RIGHT_HERE_ESG_Analysis.xlsx]Analysis!PivotTable3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Travel_Emission_kg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Analysis!$A$4:$A$20</c:f>
              <c:multiLvlStrCache>
                <c:ptCount val="14"/>
                <c:lvl>
                  <c:pt idx="0">
                    <c:v>Osaka</c:v>
                  </c:pt>
                  <c:pt idx="1">
                    <c:v>Fukuoka</c:v>
                  </c:pt>
                  <c:pt idx="2">
                    <c:v>Tokyo</c:v>
                  </c:pt>
                  <c:pt idx="3">
                    <c:v>Nagoya</c:v>
                  </c:pt>
                  <c:pt idx="4">
                    <c:v>Kallang</c:v>
                  </c:pt>
                  <c:pt idx="5">
                    <c:v>Bangkok</c:v>
                  </c:pt>
                  <c:pt idx="6">
                    <c:v>Jakarta</c:v>
                  </c:pt>
                  <c:pt idx="7">
                    <c:v>Bulacan</c:v>
                  </c:pt>
                  <c:pt idx="8">
                    <c:v>Goyang</c:v>
                  </c:pt>
                  <c:pt idx="9">
                    <c:v>Los Angeles</c:v>
                  </c:pt>
                  <c:pt idx="10">
                    <c:v>San Antonio</c:v>
                  </c:pt>
                  <c:pt idx="11">
                    <c:v>Elmont</c:v>
                  </c:pt>
                  <c:pt idx="12">
                    <c:v>Oakland</c:v>
                  </c:pt>
                  <c:pt idx="13">
                    <c:v>Rosemont</c:v>
                  </c:pt>
                </c:lvl>
                <c:lvl>
                  <c:pt idx="0">
                    <c:v>ASIA</c:v>
                  </c:pt>
                  <c:pt idx="9">
                    <c:v>US</c:v>
                  </c:pt>
                </c:lvl>
              </c:multiLvlStrCache>
            </c:multiLvlStrRef>
          </c:cat>
          <c:val>
            <c:numRef>
              <c:f>Analysis!$B$4:$B$20</c:f>
              <c:numCache>
                <c:formatCode>#,##0</c:formatCode>
                <c:ptCount val="14"/>
                <c:pt idx="0">
                  <c:v>1682235</c:v>
                </c:pt>
                <c:pt idx="1">
                  <c:v>1598535</c:v>
                </c:pt>
                <c:pt idx="2">
                  <c:v>1316430</c:v>
                </c:pt>
                <c:pt idx="3">
                  <c:v>1140300</c:v>
                </c:pt>
                <c:pt idx="4">
                  <c:v>1109760</c:v>
                </c:pt>
                <c:pt idx="5">
                  <c:v>1032720</c:v>
                </c:pt>
                <c:pt idx="6">
                  <c:v>972270</c:v>
                </c:pt>
                <c:pt idx="7">
                  <c:v>864540</c:v>
                </c:pt>
                <c:pt idx="8">
                  <c:v>861300</c:v>
                </c:pt>
                <c:pt idx="9">
                  <c:v>646020</c:v>
                </c:pt>
                <c:pt idx="10">
                  <c:v>385845</c:v>
                </c:pt>
                <c:pt idx="11">
                  <c:v>382980</c:v>
                </c:pt>
                <c:pt idx="12">
                  <c:v>351120</c:v>
                </c:pt>
                <c:pt idx="13">
                  <c:v>327120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6-4F4C-A854-C92B1501B22B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Energy_Emission_kg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Analysis!$A$4:$A$20</c:f>
              <c:multiLvlStrCache>
                <c:ptCount val="14"/>
                <c:lvl>
                  <c:pt idx="0">
                    <c:v>Osaka</c:v>
                  </c:pt>
                  <c:pt idx="1">
                    <c:v>Fukuoka</c:v>
                  </c:pt>
                  <c:pt idx="2">
                    <c:v>Tokyo</c:v>
                  </c:pt>
                  <c:pt idx="3">
                    <c:v>Nagoya</c:v>
                  </c:pt>
                  <c:pt idx="4">
                    <c:v>Kallang</c:v>
                  </c:pt>
                  <c:pt idx="5">
                    <c:v>Bangkok</c:v>
                  </c:pt>
                  <c:pt idx="6">
                    <c:v>Jakarta</c:v>
                  </c:pt>
                  <c:pt idx="7">
                    <c:v>Bulacan</c:v>
                  </c:pt>
                  <c:pt idx="8">
                    <c:v>Goyang</c:v>
                  </c:pt>
                  <c:pt idx="9">
                    <c:v>Los Angeles</c:v>
                  </c:pt>
                  <c:pt idx="10">
                    <c:v>San Antonio</c:v>
                  </c:pt>
                  <c:pt idx="11">
                    <c:v>Elmont</c:v>
                  </c:pt>
                  <c:pt idx="12">
                    <c:v>Oakland</c:v>
                  </c:pt>
                  <c:pt idx="13">
                    <c:v>Rosemont</c:v>
                  </c:pt>
                </c:lvl>
                <c:lvl>
                  <c:pt idx="0">
                    <c:v>ASIA</c:v>
                  </c:pt>
                  <c:pt idx="9">
                    <c:v>US</c:v>
                  </c:pt>
                </c:lvl>
              </c:multiLvlStrCache>
            </c:multiLvlStrRef>
          </c:cat>
          <c:val>
            <c:numRef>
              <c:f>Analysis!$C$4:$C$20</c:f>
              <c:numCache>
                <c:formatCode>#,##0</c:formatCode>
                <c:ptCount val="14"/>
                <c:pt idx="0">
                  <c:v>560745</c:v>
                </c:pt>
                <c:pt idx="1">
                  <c:v>532845</c:v>
                </c:pt>
                <c:pt idx="2">
                  <c:v>438810</c:v>
                </c:pt>
                <c:pt idx="3">
                  <c:v>380100</c:v>
                </c:pt>
                <c:pt idx="4">
                  <c:v>369920</c:v>
                </c:pt>
                <c:pt idx="5">
                  <c:v>344240</c:v>
                </c:pt>
                <c:pt idx="6">
                  <c:v>324090</c:v>
                </c:pt>
                <c:pt idx="7">
                  <c:v>288180</c:v>
                </c:pt>
                <c:pt idx="8">
                  <c:v>287100</c:v>
                </c:pt>
                <c:pt idx="9">
                  <c:v>215340</c:v>
                </c:pt>
                <c:pt idx="10">
                  <c:v>128615</c:v>
                </c:pt>
                <c:pt idx="11">
                  <c:v>127660</c:v>
                </c:pt>
                <c:pt idx="12">
                  <c:v>117040</c:v>
                </c:pt>
                <c:pt idx="13">
                  <c:v>109040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6-4F4C-A854-C92B1501B22B}"/>
            </c:ext>
          </c:extLst>
        </c:ser>
        <c:ser>
          <c:idx val="2"/>
          <c:order val="2"/>
          <c:tx>
            <c:strRef>
              <c:f>Analysis!$D$3</c:f>
              <c:strCache>
                <c:ptCount val="1"/>
                <c:pt idx="0">
                  <c:v>Sum of Total_Emission_kg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Analysis!$A$4:$A$20</c:f>
              <c:multiLvlStrCache>
                <c:ptCount val="14"/>
                <c:lvl>
                  <c:pt idx="0">
                    <c:v>Osaka</c:v>
                  </c:pt>
                  <c:pt idx="1">
                    <c:v>Fukuoka</c:v>
                  </c:pt>
                  <c:pt idx="2">
                    <c:v>Tokyo</c:v>
                  </c:pt>
                  <c:pt idx="3">
                    <c:v>Nagoya</c:v>
                  </c:pt>
                  <c:pt idx="4">
                    <c:v>Kallang</c:v>
                  </c:pt>
                  <c:pt idx="5">
                    <c:v>Bangkok</c:v>
                  </c:pt>
                  <c:pt idx="6">
                    <c:v>Jakarta</c:v>
                  </c:pt>
                  <c:pt idx="7">
                    <c:v>Bulacan</c:v>
                  </c:pt>
                  <c:pt idx="8">
                    <c:v>Goyang</c:v>
                  </c:pt>
                  <c:pt idx="9">
                    <c:v>Los Angeles</c:v>
                  </c:pt>
                  <c:pt idx="10">
                    <c:v>San Antonio</c:v>
                  </c:pt>
                  <c:pt idx="11">
                    <c:v>Elmont</c:v>
                  </c:pt>
                  <c:pt idx="12">
                    <c:v>Oakland</c:v>
                  </c:pt>
                  <c:pt idx="13">
                    <c:v>Rosemont</c:v>
                  </c:pt>
                </c:lvl>
                <c:lvl>
                  <c:pt idx="0">
                    <c:v>ASIA</c:v>
                  </c:pt>
                  <c:pt idx="9">
                    <c:v>US</c:v>
                  </c:pt>
                </c:lvl>
              </c:multiLvlStrCache>
            </c:multiLvlStrRef>
          </c:cat>
          <c:val>
            <c:numRef>
              <c:f>Analysis!$D$4:$D$20</c:f>
              <c:numCache>
                <c:formatCode>#,##0</c:formatCode>
                <c:ptCount val="14"/>
                <c:pt idx="0">
                  <c:v>2242980</c:v>
                </c:pt>
                <c:pt idx="1">
                  <c:v>2131380</c:v>
                </c:pt>
                <c:pt idx="2">
                  <c:v>1755240</c:v>
                </c:pt>
                <c:pt idx="3">
                  <c:v>1520400</c:v>
                </c:pt>
                <c:pt idx="4">
                  <c:v>1479680</c:v>
                </c:pt>
                <c:pt idx="5">
                  <c:v>1376960</c:v>
                </c:pt>
                <c:pt idx="6">
                  <c:v>1296360</c:v>
                </c:pt>
                <c:pt idx="7">
                  <c:v>1152720</c:v>
                </c:pt>
                <c:pt idx="8">
                  <c:v>1148400</c:v>
                </c:pt>
                <c:pt idx="9">
                  <c:v>861360</c:v>
                </c:pt>
                <c:pt idx="10">
                  <c:v>514460</c:v>
                </c:pt>
                <c:pt idx="11">
                  <c:v>510640</c:v>
                </c:pt>
                <c:pt idx="12">
                  <c:v>468160</c:v>
                </c:pt>
                <c:pt idx="13">
                  <c:v>436160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E6-4F4C-A854-C92B1501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248144"/>
        <c:axId val="559248624"/>
      </c:barChart>
      <c:catAx>
        <c:axId val="55924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48624"/>
        <c:crosses val="autoZero"/>
        <c:auto val="1"/>
        <c:lblAlgn val="ctr"/>
        <c:lblOffset val="100"/>
        <c:noMultiLvlLbl val="0"/>
      </c:catAx>
      <c:valAx>
        <c:axId val="55924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4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3</xdr:row>
      <xdr:rowOff>72390</xdr:rowOff>
    </xdr:from>
    <xdr:to>
      <xdr:col>6</xdr:col>
      <xdr:colOff>708660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46BEB-ABF7-675C-02B7-CFE7F49BF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ire Ann Benitez" refreshedDate="46032.728344212963" createdVersion="8" refreshedVersion="8" minRefreshableVersion="3" recordCount="30" xr:uid="{F9E6167B-721E-4438-94D5-AC2BFA2EF046}">
  <cacheSource type="worksheet">
    <worksheetSource ref="A1:I31" sheet="Clean_Data"/>
  </cacheSource>
  <cacheFields count="9">
    <cacheField name="Event_Date" numFmtId="14">
      <sharedItems containsDate="1" containsMixedTypes="1" minDate="2024-01-11T00:00:00" maxDate="2025-09-03T00:00:00"/>
    </cacheField>
    <cacheField name="City" numFmtId="0">
      <sharedItems count="14">
        <s v="Goyang"/>
        <s v="Rosemont"/>
        <s v="Elmont"/>
        <s v="San Antonio"/>
        <s v="Oakland"/>
        <s v="Los Angeles"/>
        <s v="Nagoya"/>
        <s v="Tokyo"/>
        <s v="Osaka"/>
        <s v="Fukuoka"/>
        <s v="Bulacan"/>
        <s v="Kallang"/>
        <s v="Jakarta"/>
        <s v="Bangkok"/>
      </sharedItems>
    </cacheField>
    <cacheField name="Venue" numFmtId="0">
      <sharedItems/>
    </cacheField>
    <cacheField name="Estimated_Attendance" numFmtId="3">
      <sharedItems containsSemiMixedTypes="0" containsString="0" containsNumber="1" containsInteger="1" minValue="10904" maxValue="43881"/>
    </cacheField>
    <cacheField name="Travel_Emission_kg" numFmtId="3">
      <sharedItems containsSemiMixedTypes="0" containsString="0" containsNumber="1" containsInteger="1" minValue="163560" maxValue="658215"/>
    </cacheField>
    <cacheField name="Energy_Emission_kg" numFmtId="3">
      <sharedItems containsSemiMixedTypes="0" containsString="0" containsNumber="1" containsInteger="1" minValue="54520" maxValue="219405"/>
    </cacheField>
    <cacheField name="Total_Emission_kg" numFmtId="3">
      <sharedItems containsSemiMixedTypes="0" containsString="0" containsNumber="1" containsInteger="1" minValue="218080" maxValue="877620"/>
    </cacheField>
    <cacheField name="Emission_per_Attendee_kg" numFmtId="0">
      <sharedItems containsSemiMixedTypes="0" containsString="0" containsNumber="1" containsInteger="1" minValue="20" maxValue="20" count="1">
        <n v="20"/>
      </sharedItems>
    </cacheField>
    <cacheField name="Region" numFmtId="0">
      <sharedItems count="2">
        <s v="ASIA"/>
        <s v="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12-10T00:00:00"/>
    <x v="0"/>
    <s v="Goyang Stadium"/>
    <n v="28710"/>
    <n v="430650"/>
    <n v="143550"/>
    <n v="574200"/>
    <x v="0"/>
    <x v="0"/>
  </r>
  <r>
    <s v="10/13/2024"/>
    <x v="0"/>
    <s v="Goyang Stadium"/>
    <n v="28710"/>
    <n v="430650"/>
    <n v="143550"/>
    <n v="574200"/>
    <x v="0"/>
    <x v="0"/>
  </r>
  <r>
    <s v="10/22/24"/>
    <x v="1"/>
    <s v="Allstate Arena"/>
    <n v="10904"/>
    <n v="163560"/>
    <n v="54520"/>
    <n v="218080"/>
    <x v="0"/>
    <x v="1"/>
  </r>
  <r>
    <s v="10/23/24"/>
    <x v="1"/>
    <s v="Allstate Arena"/>
    <n v="10904"/>
    <n v="163560"/>
    <n v="54520"/>
    <n v="218080"/>
    <x v="0"/>
    <x v="1"/>
  </r>
  <r>
    <s v="10/25/24"/>
    <x v="2"/>
    <s v="UBS Arena"/>
    <n v="12766"/>
    <n v="191490"/>
    <n v="63830"/>
    <n v="255320"/>
    <x v="0"/>
    <x v="1"/>
  </r>
  <r>
    <s v="10/27/24"/>
    <x v="2"/>
    <s v="UBS Arena"/>
    <n v="12766"/>
    <n v="191490"/>
    <n v="63830"/>
    <n v="255320"/>
    <x v="0"/>
    <x v="1"/>
  </r>
  <r>
    <s v="10/31/2024"/>
    <x v="3"/>
    <s v="Frost Bank Center"/>
    <n v="12861"/>
    <n v="192915"/>
    <n v="64305"/>
    <n v="257220"/>
    <x v="0"/>
    <x v="1"/>
  </r>
  <r>
    <d v="2024-01-11T00:00:00"/>
    <x v="3"/>
    <s v="Frost Bank Center"/>
    <n v="12862"/>
    <n v="192930"/>
    <n v="64310"/>
    <n v="257240"/>
    <x v="0"/>
    <x v="1"/>
  </r>
  <r>
    <d v="2024-05-11T00:00:00"/>
    <x v="4"/>
    <s v="Oakland Arena"/>
    <n v="11704"/>
    <n v="175560"/>
    <n v="58520"/>
    <n v="234080"/>
    <x v="0"/>
    <x v="1"/>
  </r>
  <r>
    <d v="2024-06-11T00:00:00"/>
    <x v="4"/>
    <s v="Oakland Arena"/>
    <n v="11704"/>
    <n v="175560"/>
    <n v="58520"/>
    <n v="234080"/>
    <x v="0"/>
    <x v="1"/>
  </r>
  <r>
    <d v="2024-09-11T00:00:00"/>
    <x v="5"/>
    <s v="BMO Stadium"/>
    <n v="21534"/>
    <n v="323010"/>
    <n v="107670"/>
    <n v="430680"/>
    <x v="0"/>
    <x v="1"/>
  </r>
  <r>
    <d v="2024-10-11T00:00:00"/>
    <x v="5"/>
    <s v="BMO Stadium"/>
    <n v="21534"/>
    <n v="323010"/>
    <n v="107670"/>
    <n v="430680"/>
    <x v="0"/>
    <x v="1"/>
  </r>
  <r>
    <s v="11/29/2024"/>
    <x v="6"/>
    <s v="Vantelin Dome"/>
    <n v="38010"/>
    <n v="570150"/>
    <n v="190050"/>
    <n v="760200"/>
    <x v="0"/>
    <x v="0"/>
  </r>
  <r>
    <s v="11/30/2024"/>
    <x v="6"/>
    <s v="Vantelin Dome"/>
    <n v="38010"/>
    <n v="570150"/>
    <n v="190050"/>
    <n v="760200"/>
    <x v="0"/>
    <x v="0"/>
  </r>
  <r>
    <d v="2024-04-12T00:00:00"/>
    <x v="7"/>
    <s v="Tokyo Dome"/>
    <n v="43881"/>
    <n v="658215"/>
    <n v="219405"/>
    <n v="877620"/>
    <x v="0"/>
    <x v="0"/>
  </r>
  <r>
    <d v="2024-05-12T00:00:00"/>
    <x v="7"/>
    <s v="Tokyo Dome"/>
    <n v="43881"/>
    <n v="658215"/>
    <n v="219405"/>
    <n v="877620"/>
    <x v="0"/>
    <x v="0"/>
  </r>
  <r>
    <d v="2024-12-12T00:00:00"/>
    <x v="8"/>
    <s v="Kyocera Dome"/>
    <n v="37383"/>
    <n v="560745"/>
    <n v="186915"/>
    <n v="747660"/>
    <x v="0"/>
    <x v="0"/>
  </r>
  <r>
    <s v="12/14/2024"/>
    <x v="8"/>
    <s v="Kyocera Dome"/>
    <n v="37383"/>
    <n v="560745"/>
    <n v="186915"/>
    <n v="747660"/>
    <x v="0"/>
    <x v="0"/>
  </r>
  <r>
    <s v="12/15/2024"/>
    <x v="8"/>
    <s v="Kyocera Dome"/>
    <n v="37383"/>
    <n v="560745"/>
    <n v="186915"/>
    <n v="747660"/>
    <x v="0"/>
    <x v="0"/>
  </r>
  <r>
    <s v="12/19/2024"/>
    <x v="9"/>
    <s v="Mizuho PayPay Dome"/>
    <n v="35523"/>
    <n v="532845"/>
    <n v="177615"/>
    <n v="710460"/>
    <x v="0"/>
    <x v="0"/>
  </r>
  <r>
    <s v="12/21/2024"/>
    <x v="9"/>
    <s v="Mizuho PayPay Dome"/>
    <n v="35523"/>
    <n v="532845"/>
    <n v="177615"/>
    <n v="710460"/>
    <x v="0"/>
    <x v="0"/>
  </r>
  <r>
    <s v="12/22/2024"/>
    <x v="9"/>
    <s v="Mizuho PayPay Dome"/>
    <n v="35523"/>
    <n v="532845"/>
    <n v="177615"/>
    <n v="710460"/>
    <x v="0"/>
    <x v="0"/>
  </r>
  <r>
    <s v="1/18/2025"/>
    <x v="10"/>
    <s v="Philippine Sports Stadium"/>
    <n v="28818"/>
    <n v="432270"/>
    <n v="144090"/>
    <n v="576360"/>
    <x v="0"/>
    <x v="0"/>
  </r>
  <r>
    <s v="1/19/2025"/>
    <x v="10"/>
    <s v="Philippine Sports Stadium"/>
    <n v="28818"/>
    <n v="432270"/>
    <n v="144090"/>
    <n v="576360"/>
    <x v="0"/>
    <x v="0"/>
  </r>
  <r>
    <s v="1/25/2025"/>
    <x v="11"/>
    <s v="National Stadium"/>
    <n v="36992"/>
    <n v="554880"/>
    <n v="184960"/>
    <n v="739840"/>
    <x v="0"/>
    <x v="0"/>
  </r>
  <r>
    <s v="1/26/2025"/>
    <x v="11"/>
    <s v="National Stadium"/>
    <n v="36992"/>
    <n v="554880"/>
    <n v="184960"/>
    <n v="739840"/>
    <x v="0"/>
    <x v="0"/>
  </r>
  <r>
    <d v="2025-08-02T00:00:00"/>
    <x v="12"/>
    <s v="Jakarta International Stadium"/>
    <n v="32409"/>
    <n v="486135"/>
    <n v="162045"/>
    <n v="648180"/>
    <x v="0"/>
    <x v="0"/>
  </r>
  <r>
    <d v="2025-09-02T00:00:00"/>
    <x v="12"/>
    <s v="Jakarta International Stadium"/>
    <n v="32409"/>
    <n v="486135"/>
    <n v="162045"/>
    <n v="648180"/>
    <x v="0"/>
    <x v="0"/>
  </r>
  <r>
    <s v="2/15/2025"/>
    <x v="13"/>
    <s v="Rajamangala National Stadium"/>
    <n v="34424"/>
    <n v="516360"/>
    <n v="172120"/>
    <n v="688480"/>
    <x v="0"/>
    <x v="0"/>
  </r>
  <r>
    <s v="2/16/2025"/>
    <x v="13"/>
    <s v="Rajamangala National Stadium"/>
    <n v="34424"/>
    <n v="516360"/>
    <n v="172120"/>
    <n v="68848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85962-7456-4FA8-A6E5-72BE5FFE727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20" firstHeaderRow="0" firstDataRow="1" firstDataCol="1"/>
  <pivotFields count="9">
    <pivotField showAll="0"/>
    <pivotField axis="axisRow" showAll="0" sortType="descending">
      <items count="15">
        <item x="13"/>
        <item x="10"/>
        <item x="2"/>
        <item x="9"/>
        <item x="0"/>
        <item x="12"/>
        <item x="11"/>
        <item x="5"/>
        <item x="6"/>
        <item x="4"/>
        <item x="8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dataField="1" numFmtId="3" showAll="0"/>
    <pivotField dataField="1" numFmtId="3" showAll="0"/>
    <pivotField dataField="1" numFmtId="3" showAll="0"/>
    <pivotField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8"/>
    <field x="1"/>
  </rowFields>
  <rowItems count="17">
    <i>
      <x/>
    </i>
    <i r="1">
      <x v="10"/>
    </i>
    <i r="1">
      <x v="3"/>
    </i>
    <i r="1">
      <x v="13"/>
    </i>
    <i r="1">
      <x v="8"/>
    </i>
    <i r="1">
      <x v="6"/>
    </i>
    <i r="1">
      <x/>
    </i>
    <i r="1">
      <x v="5"/>
    </i>
    <i r="1">
      <x v="1"/>
    </i>
    <i r="1">
      <x v="4"/>
    </i>
    <i>
      <x v="1"/>
    </i>
    <i r="1">
      <x v="7"/>
    </i>
    <i r="1">
      <x v="12"/>
    </i>
    <i r="1">
      <x v="2"/>
    </i>
    <i r="1">
      <x v="9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avel_Emission_kg" fld="4" baseField="0" baseItem="0" numFmtId="3"/>
    <dataField name="Sum of Energy_Emission_kg" fld="5" baseField="0" baseItem="0" numFmtId="3"/>
    <dataField name="Sum of Total_Emission_kg" fld="6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044A-EDFB-4A30-ABB8-A1D23CA3A047}">
  <dimension ref="A1:H31"/>
  <sheetViews>
    <sheetView workbookViewId="0">
      <selection activeCell="H2" sqref="H2"/>
    </sheetView>
  </sheetViews>
  <sheetFormatPr defaultColWidth="26" defaultRowHeight="14.4" x14ac:dyDescent="0.3"/>
  <cols>
    <col min="5" max="5" width="20.33203125" customWidth="1"/>
    <col min="6" max="6" width="20.5546875" customWidth="1"/>
    <col min="7" max="7" width="2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</v>
      </c>
      <c r="H1" s="1" t="s">
        <v>6</v>
      </c>
    </row>
    <row r="2" spans="1:8" x14ac:dyDescent="0.3">
      <c r="A2" s="6">
        <v>45636</v>
      </c>
      <c r="B2" t="s">
        <v>19</v>
      </c>
      <c r="C2" t="s">
        <v>20</v>
      </c>
      <c r="D2" t="s">
        <v>21</v>
      </c>
      <c r="E2" s="4">
        <v>41311</v>
      </c>
      <c r="F2" s="4">
        <v>28710</v>
      </c>
      <c r="G2" s="8">
        <v>1</v>
      </c>
      <c r="H2" t="s">
        <v>22</v>
      </c>
    </row>
    <row r="3" spans="1:8" x14ac:dyDescent="0.3">
      <c r="A3" s="6" t="s">
        <v>23</v>
      </c>
      <c r="B3" t="s">
        <v>19</v>
      </c>
      <c r="C3" t="s">
        <v>20</v>
      </c>
      <c r="D3" t="s">
        <v>21</v>
      </c>
      <c r="E3" s="4">
        <v>41311</v>
      </c>
      <c r="F3" s="4">
        <v>28710</v>
      </c>
      <c r="G3" s="8">
        <v>1</v>
      </c>
      <c r="H3" t="s">
        <v>22</v>
      </c>
    </row>
    <row r="4" spans="1:8" x14ac:dyDescent="0.3">
      <c r="A4" s="6" t="s">
        <v>24</v>
      </c>
      <c r="B4" t="s">
        <v>25</v>
      </c>
      <c r="C4" t="s">
        <v>26</v>
      </c>
      <c r="D4" t="s">
        <v>27</v>
      </c>
      <c r="E4" s="4">
        <v>18500</v>
      </c>
      <c r="F4" s="4">
        <v>10904</v>
      </c>
      <c r="G4" s="8">
        <v>1</v>
      </c>
      <c r="H4" t="s">
        <v>28</v>
      </c>
    </row>
    <row r="5" spans="1:8" x14ac:dyDescent="0.3">
      <c r="A5" s="6" t="s">
        <v>29</v>
      </c>
      <c r="B5" t="s">
        <v>25</v>
      </c>
      <c r="C5" t="s">
        <v>26</v>
      </c>
      <c r="D5" t="s">
        <v>27</v>
      </c>
      <c r="E5" s="4">
        <v>18500</v>
      </c>
      <c r="F5" s="4">
        <v>10904</v>
      </c>
      <c r="G5" s="8">
        <v>1</v>
      </c>
      <c r="H5" t="s">
        <v>28</v>
      </c>
    </row>
    <row r="6" spans="1:8" x14ac:dyDescent="0.3">
      <c r="A6" s="6" t="s">
        <v>30</v>
      </c>
      <c r="B6" t="s">
        <v>31</v>
      </c>
      <c r="C6" t="s">
        <v>26</v>
      </c>
      <c r="D6" t="s">
        <v>33</v>
      </c>
      <c r="E6" s="4">
        <v>19000</v>
      </c>
      <c r="F6" s="4">
        <v>12766</v>
      </c>
      <c r="G6" s="8">
        <v>1</v>
      </c>
      <c r="H6" t="s">
        <v>28</v>
      </c>
    </row>
    <row r="7" spans="1:8" x14ac:dyDescent="0.3">
      <c r="A7" s="6" t="s">
        <v>32</v>
      </c>
      <c r="B7" t="s">
        <v>31</v>
      </c>
      <c r="C7" t="s">
        <v>26</v>
      </c>
      <c r="D7" t="s">
        <v>33</v>
      </c>
      <c r="E7" s="4">
        <v>19000</v>
      </c>
      <c r="F7" s="4">
        <v>12766</v>
      </c>
      <c r="G7" s="8">
        <v>1</v>
      </c>
      <c r="H7" t="s">
        <v>28</v>
      </c>
    </row>
    <row r="8" spans="1:8" x14ac:dyDescent="0.3">
      <c r="A8" s="6" t="s">
        <v>34</v>
      </c>
      <c r="B8" t="s">
        <v>35</v>
      </c>
      <c r="C8" t="s">
        <v>26</v>
      </c>
      <c r="D8" t="s">
        <v>36</v>
      </c>
      <c r="E8" s="4">
        <v>19000</v>
      </c>
      <c r="F8" s="4">
        <v>12861</v>
      </c>
      <c r="G8" s="8">
        <v>1</v>
      </c>
      <c r="H8" t="s">
        <v>28</v>
      </c>
    </row>
    <row r="9" spans="1:8" x14ac:dyDescent="0.3">
      <c r="A9" s="6">
        <v>45302</v>
      </c>
      <c r="B9" t="s">
        <v>35</v>
      </c>
      <c r="C9" t="s">
        <v>26</v>
      </c>
      <c r="D9" t="s">
        <v>36</v>
      </c>
      <c r="E9" s="4">
        <v>19000</v>
      </c>
      <c r="F9" s="4">
        <v>12862</v>
      </c>
      <c r="G9" s="8">
        <v>1</v>
      </c>
      <c r="H9" t="s">
        <v>28</v>
      </c>
    </row>
    <row r="10" spans="1:8" x14ac:dyDescent="0.3">
      <c r="A10" s="6">
        <v>45423</v>
      </c>
      <c r="B10" t="s">
        <v>37</v>
      </c>
      <c r="C10" t="s">
        <v>26</v>
      </c>
      <c r="D10" t="s">
        <v>38</v>
      </c>
      <c r="E10" s="4">
        <v>19200</v>
      </c>
      <c r="F10" s="4">
        <v>11704</v>
      </c>
      <c r="G10" s="8">
        <v>1</v>
      </c>
      <c r="H10" t="s">
        <v>28</v>
      </c>
    </row>
    <row r="11" spans="1:8" x14ac:dyDescent="0.3">
      <c r="A11" s="6">
        <v>45454</v>
      </c>
      <c r="B11" t="s">
        <v>37</v>
      </c>
      <c r="C11" t="s">
        <v>26</v>
      </c>
      <c r="D11" t="s">
        <v>38</v>
      </c>
      <c r="E11" s="4">
        <v>19200</v>
      </c>
      <c r="F11" s="4">
        <v>11704</v>
      </c>
      <c r="G11" s="8">
        <v>1</v>
      </c>
      <c r="H11" t="s">
        <v>28</v>
      </c>
    </row>
    <row r="12" spans="1:8" x14ac:dyDescent="0.3">
      <c r="A12" s="6">
        <v>45546</v>
      </c>
      <c r="B12" t="s">
        <v>39</v>
      </c>
      <c r="C12" t="s">
        <v>26</v>
      </c>
      <c r="D12" t="s">
        <v>40</v>
      </c>
      <c r="E12" s="4">
        <v>24000</v>
      </c>
      <c r="F12" s="4">
        <v>21534</v>
      </c>
      <c r="G12" s="8">
        <v>1</v>
      </c>
      <c r="H12" t="s">
        <v>28</v>
      </c>
    </row>
    <row r="13" spans="1:8" x14ac:dyDescent="0.3">
      <c r="A13" s="6">
        <v>45576</v>
      </c>
      <c r="B13" t="s">
        <v>39</v>
      </c>
      <c r="C13" t="s">
        <v>26</v>
      </c>
      <c r="D13" t="s">
        <v>40</v>
      </c>
      <c r="E13" s="4">
        <v>24000</v>
      </c>
      <c r="F13" s="4">
        <v>21534</v>
      </c>
      <c r="G13" s="8">
        <v>1</v>
      </c>
      <c r="H13" t="s">
        <v>28</v>
      </c>
    </row>
    <row r="14" spans="1:8" x14ac:dyDescent="0.3">
      <c r="A14" s="6" t="s">
        <v>41</v>
      </c>
      <c r="B14" t="s">
        <v>42</v>
      </c>
      <c r="C14" t="s">
        <v>43</v>
      </c>
      <c r="D14" t="s">
        <v>44</v>
      </c>
      <c r="E14" s="4">
        <v>50000</v>
      </c>
      <c r="F14" s="4">
        <v>38010</v>
      </c>
      <c r="G14" s="8">
        <v>1</v>
      </c>
      <c r="H14" t="s">
        <v>22</v>
      </c>
    </row>
    <row r="15" spans="1:8" x14ac:dyDescent="0.3">
      <c r="A15" s="6" t="s">
        <v>45</v>
      </c>
      <c r="B15" t="s">
        <v>42</v>
      </c>
      <c r="C15" t="s">
        <v>43</v>
      </c>
      <c r="D15" t="s">
        <v>44</v>
      </c>
      <c r="E15" s="4">
        <v>50000</v>
      </c>
      <c r="F15" s="4">
        <v>38010</v>
      </c>
      <c r="G15" s="8">
        <v>1</v>
      </c>
      <c r="H15" t="s">
        <v>22</v>
      </c>
    </row>
    <row r="16" spans="1:8" x14ac:dyDescent="0.3">
      <c r="A16" s="6">
        <v>45394</v>
      </c>
      <c r="B16" t="s">
        <v>46</v>
      </c>
      <c r="C16" t="s">
        <v>43</v>
      </c>
      <c r="D16" t="s">
        <v>47</v>
      </c>
      <c r="E16" s="4">
        <v>55000</v>
      </c>
      <c r="F16" s="4">
        <v>43881</v>
      </c>
      <c r="G16" s="8">
        <v>1</v>
      </c>
      <c r="H16" t="s">
        <v>22</v>
      </c>
    </row>
    <row r="17" spans="1:8" x14ac:dyDescent="0.3">
      <c r="A17" s="6">
        <v>45424</v>
      </c>
      <c r="B17" t="s">
        <v>46</v>
      </c>
      <c r="C17" t="s">
        <v>43</v>
      </c>
      <c r="D17" t="s">
        <v>47</v>
      </c>
      <c r="E17" s="4">
        <v>55000</v>
      </c>
      <c r="F17" s="4">
        <v>43881</v>
      </c>
      <c r="G17" s="8">
        <v>1</v>
      </c>
      <c r="H17" t="s">
        <v>22</v>
      </c>
    </row>
    <row r="18" spans="1:8" x14ac:dyDescent="0.3">
      <c r="A18" s="6">
        <v>45638</v>
      </c>
      <c r="B18" t="s">
        <v>50</v>
      </c>
      <c r="C18" t="s">
        <v>43</v>
      </c>
      <c r="D18" t="s">
        <v>51</v>
      </c>
      <c r="E18" s="4">
        <v>55000</v>
      </c>
      <c r="F18" s="4">
        <v>37383</v>
      </c>
      <c r="G18" s="8">
        <v>1</v>
      </c>
      <c r="H18" t="s">
        <v>22</v>
      </c>
    </row>
    <row r="19" spans="1:8" x14ac:dyDescent="0.3">
      <c r="A19" s="6" t="s">
        <v>48</v>
      </c>
      <c r="B19" t="s">
        <v>50</v>
      </c>
      <c r="C19" t="s">
        <v>43</v>
      </c>
      <c r="D19" t="s">
        <v>51</v>
      </c>
      <c r="E19" s="4">
        <v>55000</v>
      </c>
      <c r="F19" s="4">
        <v>37383</v>
      </c>
      <c r="G19" s="8">
        <v>1</v>
      </c>
      <c r="H19" t="s">
        <v>22</v>
      </c>
    </row>
    <row r="20" spans="1:8" x14ac:dyDescent="0.3">
      <c r="A20" s="6" t="s">
        <v>49</v>
      </c>
      <c r="B20" t="s">
        <v>50</v>
      </c>
      <c r="C20" t="s">
        <v>43</v>
      </c>
      <c r="D20" t="s">
        <v>51</v>
      </c>
      <c r="E20" s="4">
        <v>55000</v>
      </c>
      <c r="F20" s="4">
        <v>37383</v>
      </c>
      <c r="G20" s="8">
        <v>1</v>
      </c>
      <c r="H20" t="s">
        <v>22</v>
      </c>
    </row>
    <row r="21" spans="1:8" x14ac:dyDescent="0.3">
      <c r="A21" s="6" t="s">
        <v>52</v>
      </c>
      <c r="B21" t="s">
        <v>55</v>
      </c>
      <c r="C21" t="s">
        <v>43</v>
      </c>
      <c r="D21" t="s">
        <v>56</v>
      </c>
      <c r="E21" s="4">
        <v>40000</v>
      </c>
      <c r="F21" s="4">
        <v>35523</v>
      </c>
      <c r="G21" s="8">
        <v>1</v>
      </c>
      <c r="H21" t="s">
        <v>22</v>
      </c>
    </row>
    <row r="22" spans="1:8" x14ac:dyDescent="0.3">
      <c r="A22" s="6" t="s">
        <v>53</v>
      </c>
      <c r="B22" t="s">
        <v>55</v>
      </c>
      <c r="C22" t="s">
        <v>43</v>
      </c>
      <c r="D22" t="s">
        <v>56</v>
      </c>
      <c r="E22" s="4">
        <v>40000</v>
      </c>
      <c r="F22" s="4">
        <v>35523</v>
      </c>
      <c r="G22" s="8">
        <v>1</v>
      </c>
      <c r="H22" t="s">
        <v>22</v>
      </c>
    </row>
    <row r="23" spans="1:8" x14ac:dyDescent="0.3">
      <c r="A23" s="6" t="s">
        <v>54</v>
      </c>
      <c r="B23" t="s">
        <v>55</v>
      </c>
      <c r="C23" t="s">
        <v>43</v>
      </c>
      <c r="D23" t="s">
        <v>56</v>
      </c>
      <c r="E23" s="4">
        <v>40000</v>
      </c>
      <c r="F23" s="4">
        <v>35523</v>
      </c>
      <c r="G23" s="8">
        <v>1</v>
      </c>
      <c r="H23" t="s">
        <v>22</v>
      </c>
    </row>
    <row r="24" spans="1:8" x14ac:dyDescent="0.3">
      <c r="A24" s="6" t="s">
        <v>57</v>
      </c>
      <c r="B24" t="s">
        <v>64</v>
      </c>
      <c r="C24" t="s">
        <v>59</v>
      </c>
      <c r="D24" t="s">
        <v>60</v>
      </c>
      <c r="E24" s="4">
        <v>25000</v>
      </c>
      <c r="F24" s="4">
        <v>28818</v>
      </c>
      <c r="G24" s="8">
        <v>0.95989999999999998</v>
      </c>
      <c r="H24" t="s">
        <v>22</v>
      </c>
    </row>
    <row r="25" spans="1:8" x14ac:dyDescent="0.3">
      <c r="A25" s="6" t="s">
        <v>58</v>
      </c>
      <c r="B25" t="s">
        <v>64</v>
      </c>
      <c r="C25" t="s">
        <v>59</v>
      </c>
      <c r="D25" t="s">
        <v>60</v>
      </c>
      <c r="E25" s="4">
        <v>25000</v>
      </c>
      <c r="F25" s="4">
        <v>28818</v>
      </c>
      <c r="G25" s="8">
        <v>0.95989999999999998</v>
      </c>
      <c r="H25" t="s">
        <v>22</v>
      </c>
    </row>
    <row r="26" spans="1:8" x14ac:dyDescent="0.3">
      <c r="A26" s="6" t="s">
        <v>61</v>
      </c>
      <c r="B26" t="s">
        <v>66</v>
      </c>
      <c r="C26" t="s">
        <v>63</v>
      </c>
      <c r="D26" t="s">
        <v>65</v>
      </c>
      <c r="E26" s="4">
        <v>55000</v>
      </c>
      <c r="F26" s="4">
        <v>36992</v>
      </c>
      <c r="G26" s="8">
        <v>0.99529999999999996</v>
      </c>
      <c r="H26" t="s">
        <v>22</v>
      </c>
    </row>
    <row r="27" spans="1:8" x14ac:dyDescent="0.3">
      <c r="A27" s="6" t="s">
        <v>62</v>
      </c>
      <c r="B27" t="s">
        <v>66</v>
      </c>
      <c r="C27" t="s">
        <v>63</v>
      </c>
      <c r="D27" t="s">
        <v>65</v>
      </c>
      <c r="E27" s="4">
        <v>55000</v>
      </c>
      <c r="F27" s="4">
        <v>36992</v>
      </c>
      <c r="G27" s="8">
        <v>1</v>
      </c>
      <c r="H27" t="s">
        <v>22</v>
      </c>
    </row>
    <row r="28" spans="1:8" x14ac:dyDescent="0.3">
      <c r="A28" s="6">
        <v>45871</v>
      </c>
      <c r="B28" t="s">
        <v>67</v>
      </c>
      <c r="C28" t="s">
        <v>68</v>
      </c>
      <c r="D28" t="s">
        <v>69</v>
      </c>
      <c r="E28" s="4">
        <v>83000</v>
      </c>
      <c r="F28" s="4">
        <v>32409</v>
      </c>
      <c r="G28" s="8">
        <v>0.85680000000000001</v>
      </c>
      <c r="H28" t="s">
        <v>22</v>
      </c>
    </row>
    <row r="29" spans="1:8" x14ac:dyDescent="0.3">
      <c r="A29" s="6">
        <v>45902</v>
      </c>
      <c r="B29" t="s">
        <v>67</v>
      </c>
      <c r="C29" t="s">
        <v>68</v>
      </c>
      <c r="D29" t="s">
        <v>69</v>
      </c>
      <c r="E29" s="4">
        <v>83000</v>
      </c>
      <c r="F29" s="4">
        <v>32409</v>
      </c>
      <c r="G29" s="8">
        <v>0.85680000000000001</v>
      </c>
      <c r="H29" t="s">
        <v>22</v>
      </c>
    </row>
    <row r="30" spans="1:8" x14ac:dyDescent="0.3">
      <c r="A30" s="6" t="s">
        <v>70</v>
      </c>
      <c r="B30" t="s">
        <v>72</v>
      </c>
      <c r="C30" t="s">
        <v>73</v>
      </c>
      <c r="D30" t="s">
        <v>74</v>
      </c>
      <c r="E30" s="4">
        <v>65000</v>
      </c>
      <c r="F30" s="4">
        <v>34424</v>
      </c>
      <c r="G30" s="8">
        <v>0.97019999999999995</v>
      </c>
      <c r="H30" t="s">
        <v>22</v>
      </c>
    </row>
    <row r="31" spans="1:8" x14ac:dyDescent="0.3">
      <c r="A31" s="6" t="s">
        <v>71</v>
      </c>
      <c r="B31" t="s">
        <v>72</v>
      </c>
      <c r="C31" t="s">
        <v>73</v>
      </c>
      <c r="D31" t="s">
        <v>74</v>
      </c>
      <c r="E31" s="4">
        <v>65000</v>
      </c>
      <c r="F31" s="4">
        <v>34424</v>
      </c>
      <c r="G31" s="8">
        <v>0.97019999999999995</v>
      </c>
      <c r="H3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BB8-1ACE-4A24-877D-661F97053E7E}">
  <dimension ref="A1:C14"/>
  <sheetViews>
    <sheetView workbookViewId="0">
      <selection activeCell="C11" sqref="C11"/>
    </sheetView>
  </sheetViews>
  <sheetFormatPr defaultColWidth="26.88671875" defaultRowHeight="14.4" x14ac:dyDescent="0.3"/>
  <sheetData>
    <row r="1" spans="1:3" x14ac:dyDescent="0.3">
      <c r="A1" s="2" t="s">
        <v>7</v>
      </c>
    </row>
    <row r="3" spans="1:3" x14ac:dyDescent="0.3">
      <c r="A3" s="2" t="s">
        <v>8</v>
      </c>
    </row>
    <row r="5" spans="1:3" x14ac:dyDescent="0.3">
      <c r="A5" s="3" t="s">
        <v>79</v>
      </c>
    </row>
    <row r="7" spans="1:3" x14ac:dyDescent="0.3">
      <c r="A7" s="2" t="s">
        <v>9</v>
      </c>
    </row>
    <row r="9" spans="1:3" s="2" customFormat="1" x14ac:dyDescent="0.3">
      <c r="A9" s="2" t="s">
        <v>10</v>
      </c>
      <c r="B9" s="2" t="s">
        <v>11</v>
      </c>
      <c r="C9" s="2" t="s">
        <v>12</v>
      </c>
    </row>
    <row r="10" spans="1:3" x14ac:dyDescent="0.3">
      <c r="A10" t="s">
        <v>13</v>
      </c>
      <c r="B10">
        <v>15</v>
      </c>
      <c r="C10" t="s">
        <v>14</v>
      </c>
    </row>
    <row r="11" spans="1:3" x14ac:dyDescent="0.3">
      <c r="A11" t="s">
        <v>15</v>
      </c>
      <c r="B11">
        <v>5</v>
      </c>
      <c r="C11" t="s">
        <v>16</v>
      </c>
    </row>
    <row r="13" spans="1:3" x14ac:dyDescent="0.3">
      <c r="A13" s="2" t="s">
        <v>17</v>
      </c>
    </row>
    <row r="14" spans="1:3" x14ac:dyDescent="0.3">
      <c r="A1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9A5C-56B8-4018-AEF1-E07DE5DEA065}">
  <dimension ref="A1:I31"/>
  <sheetViews>
    <sheetView workbookViewId="0">
      <selection activeCell="I23" sqref="A1:I31"/>
    </sheetView>
  </sheetViews>
  <sheetFormatPr defaultColWidth="24.5546875" defaultRowHeight="14.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75</v>
      </c>
      <c r="F1" s="1" t="s">
        <v>76</v>
      </c>
      <c r="G1" s="1" t="s">
        <v>77</v>
      </c>
      <c r="H1" s="2" t="s">
        <v>85</v>
      </c>
      <c r="I1" s="1" t="s">
        <v>6</v>
      </c>
    </row>
    <row r="2" spans="1:9" x14ac:dyDescent="0.3">
      <c r="A2" s="5">
        <f>Raw_Data!A2</f>
        <v>45636</v>
      </c>
      <c r="B2" s="7" t="str">
        <f>Raw_Data!B2</f>
        <v>Goyang</v>
      </c>
      <c r="C2" s="7" t="str">
        <f>Raw_Data!D2</f>
        <v>Goyang Stadium</v>
      </c>
      <c r="D2" s="4">
        <v>28710</v>
      </c>
      <c r="E2" s="4">
        <f>D2 * Assumptions!B10</f>
        <v>430650</v>
      </c>
      <c r="F2" s="4">
        <f>D2 * Assumptions!B11</f>
        <v>143550</v>
      </c>
      <c r="G2" s="4">
        <f>E2 + F2</f>
        <v>574200</v>
      </c>
      <c r="H2">
        <f>G2/D2</f>
        <v>20</v>
      </c>
      <c r="I2" t="str">
        <f>Raw_Data!H2</f>
        <v>ASIA</v>
      </c>
    </row>
    <row r="3" spans="1:9" x14ac:dyDescent="0.3">
      <c r="A3" s="5" t="str">
        <f>Raw_Data!A3</f>
        <v>10/13/2024</v>
      </c>
      <c r="B3" s="7" t="str">
        <f>Raw_Data!B3</f>
        <v>Goyang</v>
      </c>
      <c r="C3" s="7" t="str">
        <f>Raw_Data!D3</f>
        <v>Goyang Stadium</v>
      </c>
      <c r="D3" s="4">
        <v>28710</v>
      </c>
      <c r="E3" s="4">
        <f>D3 * Assumptions!B10</f>
        <v>430650</v>
      </c>
      <c r="F3" s="4">
        <f>D3 * Assumptions!B11</f>
        <v>143550</v>
      </c>
      <c r="G3" s="4">
        <f t="shared" ref="G3:G31" si="0">E3 + F3</f>
        <v>574200</v>
      </c>
      <c r="H3">
        <f t="shared" ref="H3:H31" si="1">G3/D3</f>
        <v>20</v>
      </c>
      <c r="I3" t="str">
        <f>Raw_Data!H3</f>
        <v>ASIA</v>
      </c>
    </row>
    <row r="4" spans="1:9" x14ac:dyDescent="0.3">
      <c r="A4" s="5" t="str">
        <f>Raw_Data!A4</f>
        <v>10/22/24</v>
      </c>
      <c r="B4" s="7" t="str">
        <f>Raw_Data!B4</f>
        <v>Rosemont</v>
      </c>
      <c r="C4" s="7" t="str">
        <f>Raw_Data!D4</f>
        <v>Allstate Arena</v>
      </c>
      <c r="D4" s="4">
        <v>10904</v>
      </c>
      <c r="E4" s="4">
        <f>D4 * Assumptions!B10</f>
        <v>163560</v>
      </c>
      <c r="F4" s="4">
        <f>D4 * Assumptions!B11</f>
        <v>54520</v>
      </c>
      <c r="G4" s="4">
        <f t="shared" si="0"/>
        <v>218080</v>
      </c>
      <c r="H4">
        <f t="shared" si="1"/>
        <v>20</v>
      </c>
      <c r="I4" t="str">
        <f>Raw_Data!H4</f>
        <v>US</v>
      </c>
    </row>
    <row r="5" spans="1:9" x14ac:dyDescent="0.3">
      <c r="A5" s="5" t="str">
        <f>Raw_Data!A5</f>
        <v>10/23/24</v>
      </c>
      <c r="B5" s="7" t="str">
        <f>Raw_Data!B5</f>
        <v>Rosemont</v>
      </c>
      <c r="C5" s="7" t="str">
        <f>Raw_Data!D5</f>
        <v>Allstate Arena</v>
      </c>
      <c r="D5" s="4">
        <v>10904</v>
      </c>
      <c r="E5" s="4">
        <f>D5 * Assumptions!B10</f>
        <v>163560</v>
      </c>
      <c r="F5" s="4">
        <f>D5 * Assumptions!B11</f>
        <v>54520</v>
      </c>
      <c r="G5" s="4">
        <f t="shared" si="0"/>
        <v>218080</v>
      </c>
      <c r="H5">
        <f t="shared" si="1"/>
        <v>20</v>
      </c>
      <c r="I5" t="str">
        <f>Raw_Data!H5</f>
        <v>US</v>
      </c>
    </row>
    <row r="6" spans="1:9" x14ac:dyDescent="0.3">
      <c r="A6" s="5" t="str">
        <f>Raw_Data!A6</f>
        <v>10/25/24</v>
      </c>
      <c r="B6" s="7" t="str">
        <f>Raw_Data!B6</f>
        <v>Elmont</v>
      </c>
      <c r="C6" s="7" t="str">
        <f>Raw_Data!D6</f>
        <v>UBS Arena</v>
      </c>
      <c r="D6" s="4">
        <v>12766</v>
      </c>
      <c r="E6" s="4">
        <f>D6 * Assumptions!B10</f>
        <v>191490</v>
      </c>
      <c r="F6" s="4">
        <f>D6 * Assumptions!B11</f>
        <v>63830</v>
      </c>
      <c r="G6" s="4">
        <f t="shared" si="0"/>
        <v>255320</v>
      </c>
      <c r="H6">
        <f t="shared" si="1"/>
        <v>20</v>
      </c>
      <c r="I6" t="str">
        <f>Raw_Data!H6</f>
        <v>US</v>
      </c>
    </row>
    <row r="7" spans="1:9" x14ac:dyDescent="0.3">
      <c r="A7" s="5" t="str">
        <f>Raw_Data!A7</f>
        <v>10/27/24</v>
      </c>
      <c r="B7" s="7" t="str">
        <f>Raw_Data!B7</f>
        <v>Elmont</v>
      </c>
      <c r="C7" s="7" t="str">
        <f>Raw_Data!D7</f>
        <v>UBS Arena</v>
      </c>
      <c r="D7" s="4">
        <v>12766</v>
      </c>
      <c r="E7" s="4">
        <f>D7 * Assumptions!B10</f>
        <v>191490</v>
      </c>
      <c r="F7" s="4">
        <f>D7 * Assumptions!B11</f>
        <v>63830</v>
      </c>
      <c r="G7" s="4">
        <f t="shared" si="0"/>
        <v>255320</v>
      </c>
      <c r="H7">
        <f t="shared" si="1"/>
        <v>20</v>
      </c>
      <c r="I7" t="str">
        <f>Raw_Data!H7</f>
        <v>US</v>
      </c>
    </row>
    <row r="8" spans="1:9" x14ac:dyDescent="0.3">
      <c r="A8" s="5" t="str">
        <f>Raw_Data!A8</f>
        <v>10/31/2024</v>
      </c>
      <c r="B8" s="7" t="str">
        <f>Raw_Data!B8</f>
        <v>San Antonio</v>
      </c>
      <c r="C8" s="7" t="str">
        <f>Raw_Data!D8</f>
        <v>Frost Bank Center</v>
      </c>
      <c r="D8" s="4">
        <v>12861</v>
      </c>
      <c r="E8" s="4">
        <f>D8 * Assumptions!B10</f>
        <v>192915</v>
      </c>
      <c r="F8" s="4">
        <f>D8 * Assumptions!B11</f>
        <v>64305</v>
      </c>
      <c r="G8" s="4">
        <f t="shared" si="0"/>
        <v>257220</v>
      </c>
      <c r="H8">
        <f t="shared" si="1"/>
        <v>20</v>
      </c>
      <c r="I8" t="str">
        <f>Raw_Data!H8</f>
        <v>US</v>
      </c>
    </row>
    <row r="9" spans="1:9" x14ac:dyDescent="0.3">
      <c r="A9" s="5">
        <f>Raw_Data!A9</f>
        <v>45302</v>
      </c>
      <c r="B9" s="7" t="str">
        <f>Raw_Data!B9</f>
        <v>San Antonio</v>
      </c>
      <c r="C9" s="7" t="str">
        <f>Raw_Data!D9</f>
        <v>Frost Bank Center</v>
      </c>
      <c r="D9" s="4">
        <v>12862</v>
      </c>
      <c r="E9" s="4">
        <f>D9 * Assumptions!B10</f>
        <v>192930</v>
      </c>
      <c r="F9" s="4">
        <f>D9 * Assumptions!B11</f>
        <v>64310</v>
      </c>
      <c r="G9" s="4">
        <f t="shared" si="0"/>
        <v>257240</v>
      </c>
      <c r="H9">
        <f t="shared" si="1"/>
        <v>20</v>
      </c>
      <c r="I9" t="str">
        <f>Raw_Data!H9</f>
        <v>US</v>
      </c>
    </row>
    <row r="10" spans="1:9" x14ac:dyDescent="0.3">
      <c r="A10" s="5">
        <f>Raw_Data!A10</f>
        <v>45423</v>
      </c>
      <c r="B10" s="7" t="str">
        <f>Raw_Data!B10</f>
        <v>Oakland</v>
      </c>
      <c r="C10" s="7" t="str">
        <f>Raw_Data!D10</f>
        <v>Oakland Arena</v>
      </c>
      <c r="D10" s="4">
        <v>11704</v>
      </c>
      <c r="E10" s="4">
        <f>D10 * Assumptions!B10</f>
        <v>175560</v>
      </c>
      <c r="F10" s="4">
        <f>D10 * Assumptions!B11</f>
        <v>58520</v>
      </c>
      <c r="G10" s="4">
        <f t="shared" si="0"/>
        <v>234080</v>
      </c>
      <c r="H10">
        <f t="shared" si="1"/>
        <v>20</v>
      </c>
      <c r="I10" t="str">
        <f>Raw_Data!H10</f>
        <v>US</v>
      </c>
    </row>
    <row r="11" spans="1:9" x14ac:dyDescent="0.3">
      <c r="A11" s="5">
        <f>Raw_Data!A11</f>
        <v>45454</v>
      </c>
      <c r="B11" s="7" t="str">
        <f>Raw_Data!B11</f>
        <v>Oakland</v>
      </c>
      <c r="C11" s="7" t="str">
        <f>Raw_Data!D11</f>
        <v>Oakland Arena</v>
      </c>
      <c r="D11" s="4">
        <v>11704</v>
      </c>
      <c r="E11" s="4">
        <f>D11 * Assumptions!B10</f>
        <v>175560</v>
      </c>
      <c r="F11" s="4">
        <f>D11 * Assumptions!B11</f>
        <v>58520</v>
      </c>
      <c r="G11" s="4">
        <f t="shared" si="0"/>
        <v>234080</v>
      </c>
      <c r="H11">
        <f t="shared" si="1"/>
        <v>20</v>
      </c>
      <c r="I11" t="str">
        <f>Raw_Data!H11</f>
        <v>US</v>
      </c>
    </row>
    <row r="12" spans="1:9" x14ac:dyDescent="0.3">
      <c r="A12" s="5">
        <f>Raw_Data!A12</f>
        <v>45546</v>
      </c>
      <c r="B12" s="7" t="str">
        <f>Raw_Data!B12</f>
        <v>Los Angeles</v>
      </c>
      <c r="C12" s="7" t="str">
        <f>Raw_Data!D12</f>
        <v>BMO Stadium</v>
      </c>
      <c r="D12" s="4">
        <v>21534</v>
      </c>
      <c r="E12" s="4">
        <f>D12 * Assumptions!B10</f>
        <v>323010</v>
      </c>
      <c r="F12" s="4">
        <f>D12 * Assumptions!B11</f>
        <v>107670</v>
      </c>
      <c r="G12" s="4">
        <f t="shared" si="0"/>
        <v>430680</v>
      </c>
      <c r="H12">
        <f t="shared" si="1"/>
        <v>20</v>
      </c>
      <c r="I12" t="str">
        <f>Raw_Data!H12</f>
        <v>US</v>
      </c>
    </row>
    <row r="13" spans="1:9" x14ac:dyDescent="0.3">
      <c r="A13" s="5">
        <f>Raw_Data!A13</f>
        <v>45576</v>
      </c>
      <c r="B13" s="7" t="str">
        <f>Raw_Data!B13</f>
        <v>Los Angeles</v>
      </c>
      <c r="C13" s="7" t="str">
        <f>Raw_Data!D13</f>
        <v>BMO Stadium</v>
      </c>
      <c r="D13" s="4">
        <v>21534</v>
      </c>
      <c r="E13" s="4">
        <f>D13 * Assumptions!B10</f>
        <v>323010</v>
      </c>
      <c r="F13" s="4">
        <f>D13 * Assumptions!B11</f>
        <v>107670</v>
      </c>
      <c r="G13" s="4">
        <f t="shared" si="0"/>
        <v>430680</v>
      </c>
      <c r="H13">
        <f t="shared" si="1"/>
        <v>20</v>
      </c>
      <c r="I13" t="str">
        <f>Raw_Data!H13</f>
        <v>US</v>
      </c>
    </row>
    <row r="14" spans="1:9" x14ac:dyDescent="0.3">
      <c r="A14" s="5" t="str">
        <f>Raw_Data!A14</f>
        <v>11/29/2024</v>
      </c>
      <c r="B14" s="7" t="str">
        <f>Raw_Data!B14</f>
        <v>Nagoya</v>
      </c>
      <c r="C14" s="7" t="str">
        <f>Raw_Data!D14</f>
        <v>Vantelin Dome</v>
      </c>
      <c r="D14" s="4">
        <v>38010</v>
      </c>
      <c r="E14" s="4">
        <f>D14 * Assumptions!B10</f>
        <v>570150</v>
      </c>
      <c r="F14" s="4">
        <f>D14 * Assumptions!B11</f>
        <v>190050</v>
      </c>
      <c r="G14" s="4">
        <f t="shared" si="0"/>
        <v>760200</v>
      </c>
      <c r="H14">
        <f t="shared" si="1"/>
        <v>20</v>
      </c>
      <c r="I14" t="str">
        <f>Raw_Data!H14</f>
        <v>ASIA</v>
      </c>
    </row>
    <row r="15" spans="1:9" x14ac:dyDescent="0.3">
      <c r="A15" s="5" t="str">
        <f>Raw_Data!A15</f>
        <v>11/30/2024</v>
      </c>
      <c r="B15" s="7" t="str">
        <f>Raw_Data!B15</f>
        <v>Nagoya</v>
      </c>
      <c r="C15" s="7" t="str">
        <f>Raw_Data!D15</f>
        <v>Vantelin Dome</v>
      </c>
      <c r="D15" s="4">
        <v>38010</v>
      </c>
      <c r="E15" s="4">
        <f>D15 * Assumptions!B10</f>
        <v>570150</v>
      </c>
      <c r="F15" s="4">
        <f>D15 * Assumptions!B11</f>
        <v>190050</v>
      </c>
      <c r="G15" s="4">
        <f t="shared" si="0"/>
        <v>760200</v>
      </c>
      <c r="H15">
        <f t="shared" si="1"/>
        <v>20</v>
      </c>
      <c r="I15" t="str">
        <f>Raw_Data!H15</f>
        <v>ASIA</v>
      </c>
    </row>
    <row r="16" spans="1:9" x14ac:dyDescent="0.3">
      <c r="A16" s="5">
        <f>Raw_Data!A16</f>
        <v>45394</v>
      </c>
      <c r="B16" s="7" t="str">
        <f>Raw_Data!B16</f>
        <v>Tokyo</v>
      </c>
      <c r="C16" s="7" t="str">
        <f>Raw_Data!D16</f>
        <v>Tokyo Dome</v>
      </c>
      <c r="D16" s="4">
        <v>43881</v>
      </c>
      <c r="E16" s="4">
        <f>D16 * Assumptions!B10</f>
        <v>658215</v>
      </c>
      <c r="F16" s="4">
        <f>D16 * Assumptions!B11</f>
        <v>219405</v>
      </c>
      <c r="G16" s="4">
        <f t="shared" si="0"/>
        <v>877620</v>
      </c>
      <c r="H16">
        <f t="shared" si="1"/>
        <v>20</v>
      </c>
      <c r="I16" t="str">
        <f>Raw_Data!H16</f>
        <v>ASIA</v>
      </c>
    </row>
    <row r="17" spans="1:9" x14ac:dyDescent="0.3">
      <c r="A17" s="5">
        <f>Raw_Data!A17</f>
        <v>45424</v>
      </c>
      <c r="B17" s="7" t="str">
        <f>Raw_Data!B17</f>
        <v>Tokyo</v>
      </c>
      <c r="C17" s="7" t="str">
        <f>Raw_Data!D17</f>
        <v>Tokyo Dome</v>
      </c>
      <c r="D17" s="4">
        <v>43881</v>
      </c>
      <c r="E17" s="4">
        <f>D17 * Assumptions!B10</f>
        <v>658215</v>
      </c>
      <c r="F17" s="4">
        <f>D17 * Assumptions!B11</f>
        <v>219405</v>
      </c>
      <c r="G17" s="4">
        <f t="shared" si="0"/>
        <v>877620</v>
      </c>
      <c r="H17">
        <f t="shared" si="1"/>
        <v>20</v>
      </c>
      <c r="I17" t="str">
        <f>Raw_Data!H17</f>
        <v>ASIA</v>
      </c>
    </row>
    <row r="18" spans="1:9" x14ac:dyDescent="0.3">
      <c r="A18" s="5">
        <f>Raw_Data!A18</f>
        <v>45638</v>
      </c>
      <c r="B18" s="7" t="str">
        <f>Raw_Data!B18</f>
        <v>Osaka</v>
      </c>
      <c r="C18" s="7" t="str">
        <f>Raw_Data!D18</f>
        <v>Kyocera Dome</v>
      </c>
      <c r="D18" s="4">
        <v>37383</v>
      </c>
      <c r="E18" s="4">
        <f>D18 * Assumptions!B10</f>
        <v>560745</v>
      </c>
      <c r="F18" s="4">
        <f>D18 * Assumptions!B11</f>
        <v>186915</v>
      </c>
      <c r="G18" s="4">
        <f t="shared" si="0"/>
        <v>747660</v>
      </c>
      <c r="H18">
        <f t="shared" si="1"/>
        <v>20</v>
      </c>
      <c r="I18" t="str">
        <f>Raw_Data!H18</f>
        <v>ASIA</v>
      </c>
    </row>
    <row r="19" spans="1:9" x14ac:dyDescent="0.3">
      <c r="A19" s="5" t="str">
        <f>Raw_Data!A19</f>
        <v>12/14/2024</v>
      </c>
      <c r="B19" s="7" t="str">
        <f>Raw_Data!B19</f>
        <v>Osaka</v>
      </c>
      <c r="C19" s="7" t="str">
        <f>Raw_Data!D19</f>
        <v>Kyocera Dome</v>
      </c>
      <c r="D19" s="4">
        <v>37383</v>
      </c>
      <c r="E19" s="4">
        <f>D19 * Assumptions!B10</f>
        <v>560745</v>
      </c>
      <c r="F19" s="4">
        <f>D19 * Assumptions!B11</f>
        <v>186915</v>
      </c>
      <c r="G19" s="4">
        <f t="shared" si="0"/>
        <v>747660</v>
      </c>
      <c r="H19">
        <f t="shared" si="1"/>
        <v>20</v>
      </c>
      <c r="I19" t="str">
        <f>Raw_Data!H19</f>
        <v>ASIA</v>
      </c>
    </row>
    <row r="20" spans="1:9" x14ac:dyDescent="0.3">
      <c r="A20" s="5" t="str">
        <f>Raw_Data!A20</f>
        <v>12/15/2024</v>
      </c>
      <c r="B20" s="7" t="str">
        <f>Raw_Data!B20</f>
        <v>Osaka</v>
      </c>
      <c r="C20" s="7" t="str">
        <f>Raw_Data!D20</f>
        <v>Kyocera Dome</v>
      </c>
      <c r="D20" s="4">
        <v>37383</v>
      </c>
      <c r="E20" s="4">
        <f>D20 * Assumptions!B10</f>
        <v>560745</v>
      </c>
      <c r="F20" s="4">
        <f>D20 * Assumptions!B11</f>
        <v>186915</v>
      </c>
      <c r="G20" s="4">
        <f t="shared" si="0"/>
        <v>747660</v>
      </c>
      <c r="H20">
        <f t="shared" si="1"/>
        <v>20</v>
      </c>
      <c r="I20" t="str">
        <f>Raw_Data!H20</f>
        <v>ASIA</v>
      </c>
    </row>
    <row r="21" spans="1:9" x14ac:dyDescent="0.3">
      <c r="A21" s="5" t="str">
        <f>Raw_Data!A21</f>
        <v>12/19/2024</v>
      </c>
      <c r="B21" s="7" t="str">
        <f>Raw_Data!B21</f>
        <v>Fukuoka</v>
      </c>
      <c r="C21" s="7" t="str">
        <f>Raw_Data!D21</f>
        <v>Mizuho PayPay Dome</v>
      </c>
      <c r="D21" s="4">
        <v>35523</v>
      </c>
      <c r="E21" s="4">
        <f>D21 * Assumptions!B10</f>
        <v>532845</v>
      </c>
      <c r="F21" s="4">
        <f>D21 * Assumptions!B11</f>
        <v>177615</v>
      </c>
      <c r="G21" s="4">
        <f t="shared" si="0"/>
        <v>710460</v>
      </c>
      <c r="H21">
        <f t="shared" si="1"/>
        <v>20</v>
      </c>
      <c r="I21" t="str">
        <f>Raw_Data!H21</f>
        <v>ASIA</v>
      </c>
    </row>
    <row r="22" spans="1:9" x14ac:dyDescent="0.3">
      <c r="A22" s="5" t="str">
        <f>Raw_Data!A22</f>
        <v>12/21/2024</v>
      </c>
      <c r="B22" s="7" t="str">
        <f>Raw_Data!B22</f>
        <v>Fukuoka</v>
      </c>
      <c r="C22" s="7" t="str">
        <f>Raw_Data!D22</f>
        <v>Mizuho PayPay Dome</v>
      </c>
      <c r="D22" s="4">
        <v>35523</v>
      </c>
      <c r="E22" s="4">
        <f>D22 * Assumptions!B10</f>
        <v>532845</v>
      </c>
      <c r="F22" s="4">
        <f>D22 * Assumptions!B11</f>
        <v>177615</v>
      </c>
      <c r="G22" s="4">
        <f t="shared" si="0"/>
        <v>710460</v>
      </c>
      <c r="H22">
        <f t="shared" si="1"/>
        <v>20</v>
      </c>
      <c r="I22" t="str">
        <f>Raw_Data!H22</f>
        <v>ASIA</v>
      </c>
    </row>
    <row r="23" spans="1:9" x14ac:dyDescent="0.3">
      <c r="A23" s="5" t="str">
        <f>Raw_Data!A23</f>
        <v>12/22/2024</v>
      </c>
      <c r="B23" s="7" t="str">
        <f>Raw_Data!B23</f>
        <v>Fukuoka</v>
      </c>
      <c r="C23" s="7" t="str">
        <f>Raw_Data!D23</f>
        <v>Mizuho PayPay Dome</v>
      </c>
      <c r="D23" s="4">
        <v>35523</v>
      </c>
      <c r="E23" s="4">
        <f>D23 * Assumptions!B10</f>
        <v>532845</v>
      </c>
      <c r="F23" s="4">
        <f>D23 * Assumptions!B11</f>
        <v>177615</v>
      </c>
      <c r="G23" s="4">
        <f t="shared" si="0"/>
        <v>710460</v>
      </c>
      <c r="H23">
        <f t="shared" si="1"/>
        <v>20</v>
      </c>
      <c r="I23" t="str">
        <f>Raw_Data!H23</f>
        <v>ASIA</v>
      </c>
    </row>
    <row r="24" spans="1:9" x14ac:dyDescent="0.3">
      <c r="A24" s="5" t="str">
        <f>Raw_Data!A24</f>
        <v>1/18/2025</v>
      </c>
      <c r="B24" s="7" t="str">
        <f>Raw_Data!B24</f>
        <v>Bulacan</v>
      </c>
      <c r="C24" s="7" t="str">
        <f>Raw_Data!D24</f>
        <v>Philippine Sports Stadium</v>
      </c>
      <c r="D24" s="4">
        <v>28818</v>
      </c>
      <c r="E24" s="4">
        <f>D24 * Assumptions!B10</f>
        <v>432270</v>
      </c>
      <c r="F24" s="4">
        <f>D24 * Assumptions!B11</f>
        <v>144090</v>
      </c>
      <c r="G24" s="4">
        <f t="shared" si="0"/>
        <v>576360</v>
      </c>
      <c r="H24">
        <f t="shared" si="1"/>
        <v>20</v>
      </c>
      <c r="I24" t="str">
        <f>Raw_Data!H24</f>
        <v>ASIA</v>
      </c>
    </row>
    <row r="25" spans="1:9" x14ac:dyDescent="0.3">
      <c r="A25" s="5" t="str">
        <f>Raw_Data!A25</f>
        <v>1/19/2025</v>
      </c>
      <c r="B25" s="7" t="str">
        <f>Raw_Data!B25</f>
        <v>Bulacan</v>
      </c>
      <c r="C25" s="7" t="str">
        <f>Raw_Data!D25</f>
        <v>Philippine Sports Stadium</v>
      </c>
      <c r="D25" s="4">
        <v>28818</v>
      </c>
      <c r="E25" s="4">
        <f>D25 * Assumptions!B10</f>
        <v>432270</v>
      </c>
      <c r="F25" s="4">
        <f>D25 * Assumptions!B11</f>
        <v>144090</v>
      </c>
      <c r="G25" s="4">
        <f t="shared" si="0"/>
        <v>576360</v>
      </c>
      <c r="H25">
        <f t="shared" si="1"/>
        <v>20</v>
      </c>
      <c r="I25" t="str">
        <f>Raw_Data!H25</f>
        <v>ASIA</v>
      </c>
    </row>
    <row r="26" spans="1:9" x14ac:dyDescent="0.3">
      <c r="A26" s="5" t="str">
        <f>Raw_Data!A26</f>
        <v>1/25/2025</v>
      </c>
      <c r="B26" s="7" t="str">
        <f>Raw_Data!B26</f>
        <v>Kallang</v>
      </c>
      <c r="C26" s="7" t="str">
        <f>Raw_Data!D26</f>
        <v>National Stadium</v>
      </c>
      <c r="D26" s="4">
        <v>36992</v>
      </c>
      <c r="E26" s="4">
        <f>D26 * Assumptions!B10</f>
        <v>554880</v>
      </c>
      <c r="F26" s="4">
        <f>D26 * Assumptions!B11</f>
        <v>184960</v>
      </c>
      <c r="G26" s="4">
        <f t="shared" si="0"/>
        <v>739840</v>
      </c>
      <c r="H26">
        <f t="shared" si="1"/>
        <v>20</v>
      </c>
      <c r="I26" t="str">
        <f>Raw_Data!H26</f>
        <v>ASIA</v>
      </c>
    </row>
    <row r="27" spans="1:9" x14ac:dyDescent="0.3">
      <c r="A27" s="5" t="str">
        <f>Raw_Data!A27</f>
        <v>1/26/2025</v>
      </c>
      <c r="B27" s="7" t="str">
        <f>Raw_Data!B27</f>
        <v>Kallang</v>
      </c>
      <c r="C27" s="7" t="str">
        <f>Raw_Data!D27</f>
        <v>National Stadium</v>
      </c>
      <c r="D27" s="4">
        <v>36992</v>
      </c>
      <c r="E27" s="4">
        <f>D27 * Assumptions!B10</f>
        <v>554880</v>
      </c>
      <c r="F27" s="4">
        <f>D27 * Assumptions!B11</f>
        <v>184960</v>
      </c>
      <c r="G27" s="4">
        <f t="shared" si="0"/>
        <v>739840</v>
      </c>
      <c r="H27">
        <f t="shared" si="1"/>
        <v>20</v>
      </c>
      <c r="I27" t="str">
        <f>Raw_Data!H27</f>
        <v>ASIA</v>
      </c>
    </row>
    <row r="28" spans="1:9" x14ac:dyDescent="0.3">
      <c r="A28" s="5">
        <f>Raw_Data!A28</f>
        <v>45871</v>
      </c>
      <c r="B28" s="7" t="str">
        <f>Raw_Data!B28</f>
        <v>Jakarta</v>
      </c>
      <c r="C28" s="7" t="str">
        <f>Raw_Data!D28</f>
        <v>Jakarta International Stadium</v>
      </c>
      <c r="D28" s="4">
        <v>32409</v>
      </c>
      <c r="E28" s="4">
        <f>D28 * Assumptions!B10</f>
        <v>486135</v>
      </c>
      <c r="F28" s="4">
        <f>D28 * Assumptions!B11</f>
        <v>162045</v>
      </c>
      <c r="G28" s="4">
        <f t="shared" si="0"/>
        <v>648180</v>
      </c>
      <c r="H28">
        <f t="shared" si="1"/>
        <v>20</v>
      </c>
      <c r="I28" t="str">
        <f>Raw_Data!H28</f>
        <v>ASIA</v>
      </c>
    </row>
    <row r="29" spans="1:9" x14ac:dyDescent="0.3">
      <c r="A29" s="5">
        <f>Raw_Data!A29</f>
        <v>45902</v>
      </c>
      <c r="B29" s="7" t="str">
        <f>Raw_Data!B29</f>
        <v>Jakarta</v>
      </c>
      <c r="C29" s="7" t="str">
        <f>Raw_Data!D29</f>
        <v>Jakarta International Stadium</v>
      </c>
      <c r="D29" s="4">
        <v>32409</v>
      </c>
      <c r="E29" s="4">
        <f>D29 * Assumptions!B10</f>
        <v>486135</v>
      </c>
      <c r="F29" s="4">
        <f>D29 * Assumptions!B11</f>
        <v>162045</v>
      </c>
      <c r="G29" s="4">
        <f t="shared" si="0"/>
        <v>648180</v>
      </c>
      <c r="H29">
        <f t="shared" si="1"/>
        <v>20</v>
      </c>
      <c r="I29" t="str">
        <f>Raw_Data!H29</f>
        <v>ASIA</v>
      </c>
    </row>
    <row r="30" spans="1:9" x14ac:dyDescent="0.3">
      <c r="A30" s="5" t="str">
        <f>Raw_Data!A30</f>
        <v>2/15/2025</v>
      </c>
      <c r="B30" s="7" t="str">
        <f>Raw_Data!B30</f>
        <v>Bangkok</v>
      </c>
      <c r="C30" s="7" t="str">
        <f>Raw_Data!D30</f>
        <v>Rajamangala National Stadium</v>
      </c>
      <c r="D30" s="4">
        <v>34424</v>
      </c>
      <c r="E30" s="4">
        <f>D30 * Assumptions!B10</f>
        <v>516360</v>
      </c>
      <c r="F30" s="4">
        <f>D30 * Assumptions!B11</f>
        <v>172120</v>
      </c>
      <c r="G30" s="4">
        <f t="shared" si="0"/>
        <v>688480</v>
      </c>
      <c r="H30">
        <f t="shared" si="1"/>
        <v>20</v>
      </c>
      <c r="I30" t="str">
        <f>Raw_Data!H30</f>
        <v>ASIA</v>
      </c>
    </row>
    <row r="31" spans="1:9" x14ac:dyDescent="0.3">
      <c r="A31" s="5" t="str">
        <f>Raw_Data!A31</f>
        <v>2/16/2025</v>
      </c>
      <c r="B31" s="7" t="str">
        <f>Raw_Data!B31</f>
        <v>Bangkok</v>
      </c>
      <c r="C31" s="7" t="str">
        <f>Raw_Data!D31</f>
        <v>Rajamangala National Stadium</v>
      </c>
      <c r="D31" s="4">
        <v>34424</v>
      </c>
      <c r="E31" s="4">
        <f>D31 * Assumptions!B10</f>
        <v>516360</v>
      </c>
      <c r="F31" s="4">
        <f>D31 * Assumptions!B11</f>
        <v>172120</v>
      </c>
      <c r="G31" s="4">
        <f t="shared" si="0"/>
        <v>688480</v>
      </c>
      <c r="H31">
        <f t="shared" si="1"/>
        <v>20</v>
      </c>
      <c r="I31" t="str">
        <f>Raw_Data!H31</f>
        <v>ASIA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EAFB-AA35-46D6-BA57-0FA4D3AB814E}">
  <dimension ref="A3:D20"/>
  <sheetViews>
    <sheetView tabSelected="1" workbookViewId="0">
      <selection activeCell="E2" sqref="E2"/>
    </sheetView>
  </sheetViews>
  <sheetFormatPr defaultRowHeight="14.4" x14ac:dyDescent="0.3"/>
  <cols>
    <col min="1" max="1" width="14.77734375" bestFit="1" customWidth="1"/>
    <col min="2" max="2" width="24.21875" bestFit="1" customWidth="1"/>
    <col min="3" max="3" width="24.88671875" bestFit="1" customWidth="1"/>
    <col min="4" max="4" width="23.33203125" bestFit="1" customWidth="1"/>
    <col min="5" max="5" width="29" bestFit="1" customWidth="1"/>
    <col min="6" max="6" width="29.77734375" bestFit="1" customWidth="1"/>
    <col min="7" max="7" width="28.109375" bestFit="1" customWidth="1"/>
  </cols>
  <sheetData>
    <row r="3" spans="1:4" x14ac:dyDescent="0.3">
      <c r="A3" s="9" t="s">
        <v>80</v>
      </c>
      <c r="B3" t="s">
        <v>82</v>
      </c>
      <c r="C3" t="s">
        <v>83</v>
      </c>
      <c r="D3" t="s">
        <v>84</v>
      </c>
    </row>
    <row r="4" spans="1:4" x14ac:dyDescent="0.3">
      <c r="A4" s="10" t="s">
        <v>22</v>
      </c>
      <c r="B4" s="4">
        <v>10578090</v>
      </c>
      <c r="C4" s="4">
        <v>3526030</v>
      </c>
      <c r="D4" s="4">
        <v>14104120</v>
      </c>
    </row>
    <row r="5" spans="1:4" x14ac:dyDescent="0.3">
      <c r="A5" s="11" t="s">
        <v>50</v>
      </c>
      <c r="B5" s="4">
        <v>1682235</v>
      </c>
      <c r="C5" s="4">
        <v>560745</v>
      </c>
      <c r="D5" s="4">
        <v>2242980</v>
      </c>
    </row>
    <row r="6" spans="1:4" x14ac:dyDescent="0.3">
      <c r="A6" s="11" t="s">
        <v>55</v>
      </c>
      <c r="B6" s="4">
        <v>1598535</v>
      </c>
      <c r="C6" s="4">
        <v>532845</v>
      </c>
      <c r="D6" s="4">
        <v>2131380</v>
      </c>
    </row>
    <row r="7" spans="1:4" x14ac:dyDescent="0.3">
      <c r="A7" s="11" t="s">
        <v>46</v>
      </c>
      <c r="B7" s="4">
        <v>1316430</v>
      </c>
      <c r="C7" s="4">
        <v>438810</v>
      </c>
      <c r="D7" s="4">
        <v>1755240</v>
      </c>
    </row>
    <row r="8" spans="1:4" x14ac:dyDescent="0.3">
      <c r="A8" s="11" t="s">
        <v>42</v>
      </c>
      <c r="B8" s="4">
        <v>1140300</v>
      </c>
      <c r="C8" s="4">
        <v>380100</v>
      </c>
      <c r="D8" s="4">
        <v>1520400</v>
      </c>
    </row>
    <row r="9" spans="1:4" x14ac:dyDescent="0.3">
      <c r="A9" s="11" t="s">
        <v>66</v>
      </c>
      <c r="B9" s="4">
        <v>1109760</v>
      </c>
      <c r="C9" s="4">
        <v>369920</v>
      </c>
      <c r="D9" s="4">
        <v>1479680</v>
      </c>
    </row>
    <row r="10" spans="1:4" x14ac:dyDescent="0.3">
      <c r="A10" s="11" t="s">
        <v>72</v>
      </c>
      <c r="B10" s="4">
        <v>1032720</v>
      </c>
      <c r="C10" s="4">
        <v>344240</v>
      </c>
      <c r="D10" s="4">
        <v>1376960</v>
      </c>
    </row>
    <row r="11" spans="1:4" x14ac:dyDescent="0.3">
      <c r="A11" s="11" t="s">
        <v>67</v>
      </c>
      <c r="B11" s="4">
        <v>972270</v>
      </c>
      <c r="C11" s="4">
        <v>324090</v>
      </c>
      <c r="D11" s="4">
        <v>1296360</v>
      </c>
    </row>
    <row r="12" spans="1:4" x14ac:dyDescent="0.3">
      <c r="A12" s="11" t="s">
        <v>64</v>
      </c>
      <c r="B12" s="4">
        <v>864540</v>
      </c>
      <c r="C12" s="4">
        <v>288180</v>
      </c>
      <c r="D12" s="4">
        <v>1152720</v>
      </c>
    </row>
    <row r="13" spans="1:4" x14ac:dyDescent="0.3">
      <c r="A13" s="11" t="s">
        <v>19</v>
      </c>
      <c r="B13" s="4">
        <v>861300</v>
      </c>
      <c r="C13" s="4">
        <v>287100</v>
      </c>
      <c r="D13" s="4">
        <v>1148400</v>
      </c>
    </row>
    <row r="14" spans="1:4" x14ac:dyDescent="0.3">
      <c r="A14" s="10" t="s">
        <v>28</v>
      </c>
      <c r="B14" s="4">
        <v>2093085</v>
      </c>
      <c r="C14" s="4">
        <v>697695</v>
      </c>
      <c r="D14" s="4">
        <v>2790780</v>
      </c>
    </row>
    <row r="15" spans="1:4" x14ac:dyDescent="0.3">
      <c r="A15" s="11" t="s">
        <v>39</v>
      </c>
      <c r="B15" s="4">
        <v>646020</v>
      </c>
      <c r="C15" s="4">
        <v>215340</v>
      </c>
      <c r="D15" s="4">
        <v>861360</v>
      </c>
    </row>
    <row r="16" spans="1:4" x14ac:dyDescent="0.3">
      <c r="A16" s="11" t="s">
        <v>35</v>
      </c>
      <c r="B16" s="4">
        <v>385845</v>
      </c>
      <c r="C16" s="4">
        <v>128615</v>
      </c>
      <c r="D16" s="4">
        <v>514460</v>
      </c>
    </row>
    <row r="17" spans="1:4" x14ac:dyDescent="0.3">
      <c r="A17" s="11" t="s">
        <v>31</v>
      </c>
      <c r="B17" s="4">
        <v>382980</v>
      </c>
      <c r="C17" s="4">
        <v>127660</v>
      </c>
      <c r="D17" s="4">
        <v>510640</v>
      </c>
    </row>
    <row r="18" spans="1:4" x14ac:dyDescent="0.3">
      <c r="A18" s="11" t="s">
        <v>37</v>
      </c>
      <c r="B18" s="4">
        <v>351120</v>
      </c>
      <c r="C18" s="4">
        <v>117040</v>
      </c>
      <c r="D18" s="4">
        <v>468160</v>
      </c>
    </row>
    <row r="19" spans="1:4" x14ac:dyDescent="0.3">
      <c r="A19" s="11" t="s">
        <v>25</v>
      </c>
      <c r="B19" s="4">
        <v>327120</v>
      </c>
      <c r="C19" s="4">
        <v>109040</v>
      </c>
      <c r="D19" s="4">
        <v>436160</v>
      </c>
    </row>
    <row r="20" spans="1:4" x14ac:dyDescent="0.3">
      <c r="A20" s="10" t="s">
        <v>81</v>
      </c>
      <c r="B20" s="4">
        <v>12671175</v>
      </c>
      <c r="C20" s="4">
        <v>4223725</v>
      </c>
      <c r="D20" s="4">
        <v>16894900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Assumptions</vt:lpstr>
      <vt:lpstr>Clean_Data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Azeus SysAd</dc:creator>
  <cp:lastModifiedBy>Azeus SysAd</cp:lastModifiedBy>
  <dcterms:created xsi:type="dcterms:W3CDTF">2026-01-10T07:06:51Z</dcterms:created>
  <dcterms:modified xsi:type="dcterms:W3CDTF">2026-01-10T09:51:53Z</dcterms:modified>
</cp:coreProperties>
</file>